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Potential Industries\1) Altraflora Documents\Internal Company Docs\Software\My R Packages\supeRcrit\inst\extdata\"/>
    </mc:Choice>
  </mc:AlternateContent>
  <xr:revisionPtr revIDLastSave="0" documentId="8_{0CFB8F06-5260-4878-8A05-7132554B1E69}" xr6:coauthVersionLast="47" xr6:coauthVersionMax="47" xr10:uidLastSave="{00000000-0000-0000-0000-000000000000}"/>
  <bookViews>
    <workbookView xWindow="-28920" yWindow="-120" windowWidth="29040" windowHeight="15840" activeTab="1" xr2:uid="{329A38B7-A30B-415F-ACD7-5FF7CDCD4D49}"/>
  </bookViews>
  <sheets>
    <sheet name="Jamaludin_2021_Scopoletin" sheetId="1" r:id="rId1"/>
    <sheet name="Vasquez_2015" sheetId="3" r:id="rId2"/>
  </sheets>
  <definedNames>
    <definedName name="solver_adj" localSheetId="0" hidden="1">Jamaludin_2021_Scopoletin!$A$2:$C$2</definedName>
    <definedName name="solver_adj" localSheetId="1" hidden="1">Vasquez_2015!$A$2:$C$2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Jamaludin_2021_Scopoletin!$C$2</definedName>
    <definedName name="solver_lhs1" localSheetId="1" hidden="1">Vasquez_2015!$C$2</definedName>
    <definedName name="solver_lhs2" localSheetId="0" hidden="1">Jamaludin_2021_Scopoletin!$C$2</definedName>
    <definedName name="solver_lhs2" localSheetId="1" hidden="1">Vasquez_2015!$C$2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Jamaludin_2021_Scopoletin!$F$2</definedName>
    <definedName name="solver_opt" localSheetId="1" hidden="1">Vasquez_2015!$F$2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hs1" localSheetId="0" hidden="1">1</definedName>
    <definedName name="solver_rhs1" localSheetId="1" hidden="1">1</definedName>
    <definedName name="solver_rhs2" localSheetId="0" hidden="1">0</definedName>
    <definedName name="solver_rhs2" localSheetId="1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F2" i="3"/>
  <c r="D5" i="1"/>
  <c r="E5" i="1"/>
  <c r="D7" i="1"/>
  <c r="E7" i="1"/>
  <c r="D8" i="1"/>
  <c r="E8" i="1"/>
  <c r="D9" i="1"/>
  <c r="E9" i="1"/>
  <c r="D10" i="1"/>
  <c r="E10" i="1"/>
  <c r="D11" i="1"/>
  <c r="E11" i="1"/>
  <c r="D12" i="1"/>
  <c r="E12" i="1"/>
  <c r="D6" i="1"/>
  <c r="E6" i="1"/>
  <c r="F2" i="1"/>
  <c r="C6" i="1"/>
  <c r="C7" i="1"/>
  <c r="C8" i="1"/>
  <c r="C9" i="1"/>
  <c r="C10" i="1"/>
  <c r="C11" i="1"/>
  <c r="C12" i="1"/>
  <c r="C5" i="1"/>
</calcChain>
</file>

<file path=xl/sharedStrings.xml><?xml version="1.0" encoding="utf-8"?>
<sst xmlns="http://schemas.openxmlformats.org/spreadsheetml/2006/main" count="20" uniqueCount="10">
  <si>
    <t>F</t>
  </si>
  <si>
    <t>k1</t>
  </si>
  <si>
    <t>k2</t>
  </si>
  <si>
    <t>x</t>
  </si>
  <si>
    <t>y</t>
  </si>
  <si>
    <t>model</t>
  </si>
  <si>
    <t>c0</t>
  </si>
  <si>
    <t>y_raw</t>
  </si>
  <si>
    <t>RMSE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</si>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</sst>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Jamaludin_2021_Scopoletin!$A$5:$A$12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xVal>
          <c:yVal>
            <c:numRef>
              <c:f>Jamaludin_2021_Scopoletin!$C$5:$C$12</c:f>
              <c:numCache>
                <c:formatCode>General</c:formatCode>
                <c:ptCount val="8"/>
                <c:pt idx="0">
                  <c:v>0</c:v>
                </c:pt>
                <c:pt idx="1">
                  <c:v>0.48044619422572177</c:v>
                </c:pt>
                <c:pt idx="2">
                  <c:v>0.64726284214473195</c:v>
                </c:pt>
                <c:pt idx="3">
                  <c:v>0.75703037120359962</c:v>
                </c:pt>
                <c:pt idx="4">
                  <c:v>0.82975253093363333</c:v>
                </c:pt>
                <c:pt idx="5">
                  <c:v>0.87821522309711286</c:v>
                </c:pt>
                <c:pt idx="6">
                  <c:v>0.90815523059617553</c:v>
                </c:pt>
                <c:pt idx="7">
                  <c:v>0.92527184101987259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7-44FC-A4CA-E0DA38FEF158}"/>
            </c:ext>
          </c:extLst>
        </c:ser>
        <c:ser>
          <c:idx val="1"/>
          <c:order val="1"/>
          <c:tx>
            <c:v>Model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Jamaludin_2021_Scopoletin!$A$5:$A$12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</c:numCache>
            </c:numRef>
          </c:xVal>
          <c:yVal>
            <c:numRef>
              <c:f>Jamaludin_2021_Scopoletin!$D$5:$D$12</c:f>
              <c:numCache>
                <c:formatCode>General</c:formatCode>
                <c:ptCount val="8"/>
                <c:pt idx="0">
                  <c:v>0</c:v>
                </c:pt>
                <c:pt idx="1">
                  <c:v>0.50085753527612731</c:v>
                </c:pt>
                <c:pt idx="2">
                  <c:v>0.64726286105403974</c:v>
                </c:pt>
                <c:pt idx="3">
                  <c:v>0.75068176184963509</c:v>
                </c:pt>
                <c:pt idx="4">
                  <c:v>0.82374842396937864</c:v>
                </c:pt>
                <c:pt idx="5">
                  <c:v>0.87537994243161621</c:v>
                </c:pt>
                <c:pt idx="6">
                  <c:v>0.91187102521108043</c:v>
                </c:pt>
                <c:pt idx="7">
                  <c:v>0.93766597831506082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37-44FC-A4CA-E0DA38FEF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518847"/>
        <c:axId val="917523647"/>
      </c:scatterChart>
      <c:valAx>
        <c:axId val="91751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23647"/>
        <c:crosses val="autoZero"/>
        <c:crossBetween val="midCat"/>
      </c:valAx>
      <c:valAx>
        <c:axId val="917523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(C/C</a:t>
                </a:r>
                <a:r>
                  <a:rPr lang="en-GB" baseline="-25000"/>
                  <a:t>0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1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Vasquez_2015!$A$5:$A$12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45</c:v>
                </c:pt>
                <c:pt idx="3">
                  <c:v>70</c:v>
                </c:pt>
                <c:pt idx="4">
                  <c:v>85</c:v>
                </c:pt>
                <c:pt idx="5">
                  <c:v>120</c:v>
                </c:pt>
              </c:numCache>
            </c:numRef>
          </c:xVal>
          <c:yVal>
            <c:numRef>
              <c:f>Vasquez_2015!$C$5:$C$12</c:f>
              <c:numCache>
                <c:formatCode>General</c:formatCode>
                <c:ptCount val="8"/>
                <c:pt idx="0">
                  <c:v>0</c:v>
                </c:pt>
                <c:pt idx="1">
                  <c:v>0.18345833333333331</c:v>
                </c:pt>
                <c:pt idx="2">
                  <c:v>0.27958333333333335</c:v>
                </c:pt>
                <c:pt idx="3">
                  <c:v>0.33200000000000002</c:v>
                </c:pt>
                <c:pt idx="4">
                  <c:v>0.37154166666666666</c:v>
                </c:pt>
                <c:pt idx="5">
                  <c:v>0.39845833333333336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5-4B66-9B68-9DC7B5BA9816}"/>
            </c:ext>
          </c:extLst>
        </c:ser>
        <c:ser>
          <c:idx val="1"/>
          <c:order val="1"/>
          <c:tx>
            <c:v>Model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Vasquez_2015!$A$5:$A$12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45</c:v>
                </c:pt>
                <c:pt idx="3">
                  <c:v>70</c:v>
                </c:pt>
                <c:pt idx="4">
                  <c:v>85</c:v>
                </c:pt>
                <c:pt idx="5">
                  <c:v>120</c:v>
                </c:pt>
              </c:numCache>
            </c:numRef>
          </c:xVal>
          <c:yVal>
            <c:numRef>
              <c:f>Vasquez_2015!$D$5:$D$12</c:f>
              <c:numCache>
                <c:formatCode>General</c:formatCode>
                <c:ptCount val="8"/>
                <c:pt idx="0">
                  <c:v>0</c:v>
                </c:pt>
                <c:pt idx="1">
                  <c:v>0.14316530669917371</c:v>
                </c:pt>
                <c:pt idx="2">
                  <c:v>0.25979909382301625</c:v>
                </c:pt>
                <c:pt idx="3">
                  <c:v>0.33200848373344605</c:v>
                </c:pt>
                <c:pt idx="4">
                  <c:v>0.36135229138878633</c:v>
                </c:pt>
                <c:pt idx="5">
                  <c:v>0.40439762393024281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5-4B66-9B68-9DC7B5BA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518847"/>
        <c:axId val="917523647"/>
      </c:scatterChart>
      <c:valAx>
        <c:axId val="91751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23647"/>
        <c:crosses val="autoZero"/>
        <c:crossBetween val="midCat"/>
      </c:valAx>
      <c:valAx>
        <c:axId val="917523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Yield (C/C</a:t>
                </a:r>
                <a:r>
                  <a:rPr lang="en-GB" baseline="-25000"/>
                  <a:t>0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1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E35AAA-0793-43BC-BABC-A83AD87DF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50E96-B22D-4510-BFEE-FC90435A3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4593-94B5-415E-AD37-BA1BA304E75F}">
  <dimension ref="A1:F12"/>
  <sheetViews>
    <sheetView workbookViewId="0">
      <selection activeCell="A8" sqref="A8"/>
    </sheetView>
  </sheetViews>
  <sheetFormatPr defaultRowHeight="15" x14ac:dyDescent="0.25"/>
  <sheetData>
    <row r="1" spans="1:6" x14ac:dyDescent="0.25">
      <c r="A1" s="2" t="s">
        <v>1</v>
      </c>
      <c r="B1" s="2" t="s">
        <v>2</v>
      </c>
      <c r="C1" s="2" t="s">
        <v>0</v>
      </c>
      <c r="D1" s="2"/>
      <c r="E1" s="2" t="s">
        <v>6</v>
      </c>
      <c r="F1" s="2" t="s">
        <v>8</v>
      </c>
    </row>
    <row r="2" spans="1:6" x14ac:dyDescent="0.25">
      <c r="A2" s="1">
        <v>0.14434564858118501</v>
      </c>
      <c r="B2" s="1">
        <v>0.1337408139258672</v>
      </c>
      <c r="C2" s="1">
        <v>0.49998059801403089</v>
      </c>
      <c r="D2" s="1"/>
      <c r="E2" s="1">
        <v>533.4</v>
      </c>
      <c r="F2" s="1">
        <f>SUM($E$5:$E$12)/COUNTA($E$5:$E$12)</f>
        <v>6.463661106690291E-3</v>
      </c>
    </row>
    <row r="4" spans="1:6" x14ac:dyDescent="0.25">
      <c r="A4" s="2" t="s">
        <v>3</v>
      </c>
      <c r="B4" s="2" t="s">
        <v>7</v>
      </c>
      <c r="C4" s="2" t="s">
        <v>4</v>
      </c>
      <c r="D4" s="2" t="s">
        <v>5</v>
      </c>
      <c r="E4" s="2" t="s">
        <v>9</v>
      </c>
    </row>
    <row r="5" spans="1:6" x14ac:dyDescent="0.25">
      <c r="A5" s="1">
        <v>0</v>
      </c>
      <c r="B5" s="1">
        <v>0</v>
      </c>
      <c r="C5" s="1">
        <f>$B5/$E$2</f>
        <v>0</v>
      </c>
      <c r="D5" s="1">
        <f>1-$C$2*EXP(-$A$2*$A5)-(1-$C$2)*EXP(-$B$2*$A5)</f>
        <v>0</v>
      </c>
      <c r="E5" s="1">
        <f>SQRT(($D5-$C5)^2)</f>
        <v>0</v>
      </c>
    </row>
    <row r="6" spans="1:6" x14ac:dyDescent="0.25">
      <c r="A6" s="1">
        <v>5</v>
      </c>
      <c r="B6" s="1">
        <v>256.27</v>
      </c>
      <c r="C6" s="1">
        <f t="shared" ref="C6:C12" si="0">$B6/$E$2</f>
        <v>0.48044619422572177</v>
      </c>
      <c r="D6" s="1">
        <f t="shared" ref="D6:D12" si="1">1-$C$2*EXP(-$A$2*$A6)-(1-$C$2)*EXP(-$B$2*$A6)</f>
        <v>0.50085753527612731</v>
      </c>
      <c r="E6" s="1">
        <f>SQRT(($D6-$C6)^2)</f>
        <v>2.041134105040554E-2</v>
      </c>
    </row>
    <row r="7" spans="1:6" x14ac:dyDescent="0.25">
      <c r="A7" s="1">
        <v>7.5</v>
      </c>
      <c r="B7" s="1">
        <v>345.25</v>
      </c>
      <c r="C7" s="1">
        <f t="shared" si="0"/>
        <v>0.64726284214473195</v>
      </c>
      <c r="D7" s="1">
        <f t="shared" si="1"/>
        <v>0.64726286105403974</v>
      </c>
      <c r="E7" s="1">
        <f t="shared" ref="E7:E12" si="2">SQRT(($D7-$C7)^2)</f>
        <v>1.8909307786252327E-8</v>
      </c>
    </row>
    <row r="8" spans="1:6" x14ac:dyDescent="0.25">
      <c r="A8" s="1">
        <v>10</v>
      </c>
      <c r="B8" s="1">
        <v>403.8</v>
      </c>
      <c r="C8" s="1">
        <f t="shared" si="0"/>
        <v>0.75703037120359962</v>
      </c>
      <c r="D8" s="1">
        <f t="shared" si="1"/>
        <v>0.75068176184963509</v>
      </c>
      <c r="E8" s="1">
        <f t="shared" si="2"/>
        <v>6.3486093539645294E-3</v>
      </c>
    </row>
    <row r="9" spans="1:6" x14ac:dyDescent="0.25">
      <c r="A9" s="1">
        <v>12.5</v>
      </c>
      <c r="B9" s="1">
        <v>442.59</v>
      </c>
      <c r="C9" s="1">
        <f t="shared" si="0"/>
        <v>0.82975253093363333</v>
      </c>
      <c r="D9" s="1">
        <f t="shared" si="1"/>
        <v>0.82374842396937864</v>
      </c>
      <c r="E9" s="1">
        <f t="shared" si="2"/>
        <v>6.0041069642546852E-3</v>
      </c>
    </row>
    <row r="10" spans="1:6" x14ac:dyDescent="0.25">
      <c r="A10" s="1">
        <v>15</v>
      </c>
      <c r="B10" s="1">
        <v>468.44</v>
      </c>
      <c r="C10" s="1">
        <f t="shared" si="0"/>
        <v>0.87821522309711286</v>
      </c>
      <c r="D10" s="1">
        <f t="shared" si="1"/>
        <v>0.87537994243161621</v>
      </c>
      <c r="E10" s="1">
        <f t="shared" si="2"/>
        <v>2.8352806654966534E-3</v>
      </c>
    </row>
    <row r="11" spans="1:6" x14ac:dyDescent="0.25">
      <c r="A11" s="1">
        <v>17.5</v>
      </c>
      <c r="B11" s="1">
        <v>484.41</v>
      </c>
      <c r="C11" s="1">
        <f t="shared" si="0"/>
        <v>0.90815523059617553</v>
      </c>
      <c r="D11" s="1">
        <f t="shared" si="1"/>
        <v>0.91187102521108043</v>
      </c>
      <c r="E11" s="1">
        <f t="shared" si="2"/>
        <v>3.7157946149048993E-3</v>
      </c>
    </row>
    <row r="12" spans="1:6" x14ac:dyDescent="0.25">
      <c r="A12" s="1">
        <v>20</v>
      </c>
      <c r="B12" s="1">
        <v>493.54</v>
      </c>
      <c r="C12" s="1">
        <f t="shared" si="0"/>
        <v>0.92527184101987259</v>
      </c>
      <c r="D12" s="1">
        <f t="shared" si="1"/>
        <v>0.93766597831506082</v>
      </c>
      <c r="E12" s="1">
        <f t="shared" si="2"/>
        <v>1.2394137295188234E-2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C4BA-4EA1-4C55-950B-0B343863F5A6}">
  <dimension ref="A1:F12"/>
  <sheetViews>
    <sheetView tabSelected="1" workbookViewId="0">
      <selection activeCell="C14" sqref="C14"/>
    </sheetView>
  </sheetViews>
  <sheetFormatPr defaultRowHeight="15" x14ac:dyDescent="0.25"/>
  <sheetData>
    <row r="1" spans="1:6" x14ac:dyDescent="0.25">
      <c r="A1" s="2" t="s">
        <v>1</v>
      </c>
      <c r="B1" s="2" t="s">
        <v>2</v>
      </c>
      <c r="C1" s="2" t="s">
        <v>0</v>
      </c>
      <c r="D1" s="2"/>
      <c r="E1" s="2" t="s">
        <v>6</v>
      </c>
      <c r="F1" s="2" t="s">
        <v>8</v>
      </c>
    </row>
    <row r="2" spans="1:6" x14ac:dyDescent="0.25">
      <c r="A2" s="1">
        <v>1.9181266153678673E-2</v>
      </c>
      <c r="B2" s="1">
        <v>8.6397176394826298E-7</v>
      </c>
      <c r="C2" s="1">
        <v>0.44930887007895676</v>
      </c>
      <c r="D2" s="1"/>
      <c r="E2" s="1">
        <v>24</v>
      </c>
      <c r="F2" s="1">
        <f>SUM($E$5:$E$10)/COUNTA($E$5:$E$10)</f>
        <v>1.2702402625452086E-2</v>
      </c>
    </row>
    <row r="4" spans="1:6" x14ac:dyDescent="0.25">
      <c r="A4" s="2" t="s">
        <v>3</v>
      </c>
      <c r="B4" s="2" t="s">
        <v>7</v>
      </c>
      <c r="C4" s="2" t="s">
        <v>4</v>
      </c>
      <c r="D4" s="2" t="s">
        <v>5</v>
      </c>
      <c r="E4" s="2" t="s">
        <v>9</v>
      </c>
    </row>
    <row r="5" spans="1:6" x14ac:dyDescent="0.25">
      <c r="A5" s="1">
        <v>0</v>
      </c>
      <c r="B5" s="1">
        <v>0</v>
      </c>
      <c r="C5" s="1">
        <f>$B5/$E$2</f>
        <v>0</v>
      </c>
      <c r="D5" s="1">
        <f t="shared" ref="D5:D10" si="0">1-$C$2*EXP(-$A$2*$A5)-(1-$C$2)*EXP(-$B$2*$A5)</f>
        <v>0</v>
      </c>
      <c r="E5" s="1">
        <f>SQRT(($D5-$C5)^2)</f>
        <v>0</v>
      </c>
    </row>
    <row r="6" spans="1:6" x14ac:dyDescent="0.25">
      <c r="A6" s="1">
        <v>20</v>
      </c>
      <c r="B6" s="1">
        <v>4.4029999999999996</v>
      </c>
      <c r="C6" s="1">
        <f t="shared" ref="C6:C10" si="1">$B6/$E$2</f>
        <v>0.18345833333333331</v>
      </c>
      <c r="D6" s="1">
        <f t="shared" si="0"/>
        <v>0.14316530669917371</v>
      </c>
      <c r="E6" s="1">
        <f>SQRT(($D6-$C6)^2)</f>
        <v>4.0293026634159596E-2</v>
      </c>
    </row>
    <row r="7" spans="1:6" x14ac:dyDescent="0.25">
      <c r="A7" s="1">
        <v>45</v>
      </c>
      <c r="B7" s="1">
        <v>6.71</v>
      </c>
      <c r="C7" s="1">
        <f t="shared" si="1"/>
        <v>0.27958333333333335</v>
      </c>
      <c r="D7" s="1">
        <f t="shared" si="0"/>
        <v>0.25979909382301625</v>
      </c>
      <c r="E7" s="1">
        <f t="shared" ref="E7:E10" si="2">SQRT(($D7-$C7)^2)</f>
        <v>1.9784239510317103E-2</v>
      </c>
    </row>
    <row r="8" spans="1:6" x14ac:dyDescent="0.25">
      <c r="A8" s="1">
        <v>70</v>
      </c>
      <c r="B8" s="1">
        <v>7.968</v>
      </c>
      <c r="C8" s="1">
        <f t="shared" si="1"/>
        <v>0.33200000000000002</v>
      </c>
      <c r="D8" s="1">
        <f t="shared" si="0"/>
        <v>0.33200848373344605</v>
      </c>
      <c r="E8" s="1">
        <f t="shared" si="2"/>
        <v>8.4837334460297065E-6</v>
      </c>
    </row>
    <row r="9" spans="1:6" x14ac:dyDescent="0.25">
      <c r="A9" s="1">
        <v>85</v>
      </c>
      <c r="B9" s="1">
        <v>8.9169999999999998</v>
      </c>
      <c r="C9" s="1">
        <f t="shared" si="1"/>
        <v>0.37154166666666666</v>
      </c>
      <c r="D9" s="1">
        <f t="shared" si="0"/>
        <v>0.36135229138878633</v>
      </c>
      <c r="E9" s="1">
        <f t="shared" si="2"/>
        <v>1.018937527788033E-2</v>
      </c>
    </row>
    <row r="10" spans="1:6" x14ac:dyDescent="0.25">
      <c r="A10" s="1">
        <v>120</v>
      </c>
      <c r="B10" s="1">
        <v>9.5630000000000006</v>
      </c>
      <c r="C10" s="1">
        <f t="shared" si="1"/>
        <v>0.39845833333333336</v>
      </c>
      <c r="D10" s="1">
        <f t="shared" si="0"/>
        <v>0.40439762393024281</v>
      </c>
      <c r="E10" s="1">
        <f t="shared" si="2"/>
        <v>5.9392905969094523E-3</v>
      </c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Jamaludin_2021_Scopoletin</vt:lpstr>
      <vt:lpstr>Vasquez_2015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denizcan k�seoğlu</dc:creator>
  <cp:lastModifiedBy>denizcan k�seoğlu</cp:lastModifiedBy>
  <dcterms:created xsi:type="dcterms:W3CDTF">2024-06-13T17:52:34Z</dcterms:created>
  <dcterms:modified xsi:type="dcterms:W3CDTF">2024-06-20T13:13:08Z</dcterms:modified>
</cp:coreProperties>
</file>